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ke1\Downloads\"/>
    </mc:Choice>
  </mc:AlternateContent>
  <xr:revisionPtr revIDLastSave="0" documentId="13_ncr:1_{4D77E833-BDC7-45CC-8AAF-E3FB577AC2C4}" xr6:coauthVersionLast="47" xr6:coauthVersionMax="47" xr10:uidLastSave="{00000000-0000-0000-0000-000000000000}"/>
  <bookViews>
    <workbookView xWindow="-110" yWindow="-110" windowWidth="19420" windowHeight="11500" tabRatio="617" xr2:uid="{00000000-000D-0000-FFFF-FFFF00000000}"/>
  </bookViews>
  <sheets>
    <sheet name="Voice Activity Breakdown (Ex)" sheetId="3" r:id="rId1"/>
    <sheet name="Voice Activity Breakdown (In)" sheetId="1" r:id="rId2"/>
    <sheet name="Written Activity Breakdown" sheetId="2" state="hidden" r:id="rId3"/>
  </sheets>
  <definedNames>
    <definedName name="_xlnm._FilterDatabase" localSheetId="0" hidden="1">'Voice Activity Breakdown (Ex)'!$B$3:$J$13</definedName>
    <definedName name="_xlnm._FilterDatabase" localSheetId="1" hidden="1">'Voice Activity Breakdown (In)'!$B$3:$J$14</definedName>
    <definedName name="_xlnm._FilterDatabase" localSheetId="2" hidden="1">'Written Activity Breakdown'!$B$3:$I$8</definedName>
    <definedName name="_xlnm.Print_Area" localSheetId="0">'Voice Activity Breakdown (Ex)'!$B$3:$J$15</definedName>
    <definedName name="_xlnm.Print_Area" localSheetId="1">'Voice Activity Breakdown (In)'!$B$3:$J$17</definedName>
    <definedName name="_xlnm.Print_Area" localSheetId="2">'Written Activity Breakdown'!$B$3:$I$10</definedName>
    <definedName name="_xlnm.Print_Titles" localSheetId="0">'Voice Activity Breakdown (Ex)'!$3:$3</definedName>
    <definedName name="_xlnm.Print_Titles" localSheetId="1">'Voice Activity Breakdown (In)'!$3:$3</definedName>
    <definedName name="_xlnm.Print_Titles" localSheetId="2">'Written Activity Breakdown'!$3:$3</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 l="1"/>
  <c r="I15" i="3"/>
  <c r="H15" i="3"/>
  <c r="H10" i="2"/>
  <c r="G10" i="2"/>
  <c r="H17" i="1"/>
</calcChain>
</file>

<file path=xl/sharedStrings.xml><?xml version="1.0" encoding="utf-8"?>
<sst xmlns="http://schemas.openxmlformats.org/spreadsheetml/2006/main" count="186" uniqueCount="95">
  <si>
    <t>Assessment</t>
  </si>
  <si>
    <t>Activity</t>
  </si>
  <si>
    <t>Activity Description</t>
  </si>
  <si>
    <t>Skills/Competency</t>
  </si>
  <si>
    <t>Questions</t>
  </si>
  <si>
    <t>Duration (mins)</t>
  </si>
  <si>
    <t>Example</t>
  </si>
  <si>
    <t>Candidate reads isolated job-relevant words aloud. Speech is recorded and analyzed for sound production and intelligibility.</t>
  </si>
  <si>
    <t>Pronunciation; speech clarity; phonological control</t>
  </si>
  <si>
    <t>Pronunciation; fluency; pace; phrasing; reading accuracy</t>
  </si>
  <si>
    <t>Vocabulary; sentence structure; pronunciation; grammatical accuracy</t>
  </si>
  <si>
    <t>Lexical resource; idiom comprehension; contextual vocabulary</t>
  </si>
  <si>
    <t>Candidate completes sentences using the correct preposition, article, tense, or subject-verb agreement.</t>
  </si>
  <si>
    <t>Grammar; prepositions; articles; verb tense; subject-verb agreement</t>
  </si>
  <si>
    <t>Active listening; auditory memory; comprehension; pronunciation</t>
  </si>
  <si>
    <t>Listening comprehension; information retention; attention to detail</t>
  </si>
  <si>
    <t>Empathy; probing; positive scripting; problem solving; tone; coherence</t>
  </si>
  <si>
    <t>Coherence; sequencing; clarity; instructional language</t>
  </si>
  <si>
    <t>Decision making; critical thinking; logical presentation; directness</t>
  </si>
  <si>
    <t>Email comprehension and planning</t>
  </si>
  <si>
    <t>Candidate reviews a customer scenario and identifies the purpose, essential facts, and required action before composing.</t>
  </si>
  <si>
    <t>Reading comprehension; information accuracy; organization</t>
  </si>
  <si>
    <t>Identify the concern, requested resolution, and deadline in an email brief.</t>
  </si>
  <si>
    <t>Customer email response</t>
  </si>
  <si>
    <t>Candidate writes a professional email that acknowledges the concern, provides next steps, and sets expectations.</t>
  </si>
  <si>
    <t>Professionalism; grammar; spelling; punctuation; completeness; coherence</t>
  </si>
  <si>
    <t>Write a replacement-request email for a customer who received the wrong item.</t>
  </si>
  <si>
    <t>Chat correspondence</t>
  </si>
  <si>
    <t>Candidate responds to a sequence of simulated customer chat messages within a defined response window.</t>
  </si>
  <si>
    <t>Timeliness; concise writing; tone; comprehension; appropriate abbreviations</t>
  </si>
  <si>
    <t>Respond to follow-up questions while keeping each message clear and concise.</t>
  </si>
  <si>
    <t>Information accuracy check</t>
  </si>
  <si>
    <t>Candidate compares a draft response with a source card and corrects inaccurate or unsupported details.</t>
  </si>
  <si>
    <t>Attention to detail; information accuracy; documentation quality</t>
  </si>
  <si>
    <t>Correct an incorrect turnaround time and remove an unsupported promise.</t>
  </si>
  <si>
    <t>Edit for grammar and professionalism</t>
  </si>
  <si>
    <t>Candidate revises a short email or chat response containing language and style errors.</t>
  </si>
  <si>
    <t>Grammar; capitalization; spelling; punctuation; formality; jargon control</t>
  </si>
  <si>
    <t>Revise a message with sentence fragments, informal shorthand, and punctuation errors.</t>
  </si>
  <si>
    <t>Durations are estimates; candidates complete only assigned pathway(s).</t>
  </si>
  <si>
    <t>Total items</t>
  </si>
  <si>
    <t>Written (Email)</t>
  </si>
  <si>
    <t>Written (Chat)</t>
  </si>
  <si>
    <t>Written (Email &amp; Chat)</t>
  </si>
  <si>
    <t>Read aloud: 
“eligibility” 
“authorization”  
“pharmaceutical”</t>
  </si>
  <si>
    <t>Candidate reads a short workplace passage aloud at a natural pace.
Speech is recorded and analyzed for sound production and intelligibility.</t>
  </si>
  <si>
    <t>Read aloud: 
"I arrive at the office at 8:30 AM. I say good morning to all my workmates then
I get a big cup of hot coffee. I turn on my computer and read my email. Some
days I have a lot to read. Soon I need another cup of coffee."</t>
  </si>
  <si>
    <t>Choose and read the correct sentence: 
a. This book makes me inspire to do better.
b. This book gives me the inspiration to do better.
c. The book allows me inspiring to do better.</t>
  </si>
  <si>
    <t>Complete the sentence:
"I really want to help you but my ___. You should ask Colin for assistance."
a. hands are tied
b. fingers are crossed
c. nose is looking down</t>
  </si>
  <si>
    <t>Complete the sentence:
Jean’s birthday is _____ November.
a. in
b. on
c. at</t>
  </si>
  <si>
    <t>Candidate listens to a short recording once and repeats it accurately.</t>
  </si>
  <si>
    <t>Listen: 10 Sunflower Street, Phoenix, Arizona
Repeat: 10 Sunflower Street, Phoenix, Arizona</t>
  </si>
  <si>
    <t>Listen: Hi, I recently gave birth and would like to add my daughter as a dependent please.
Choose the best answer: What is the member's concern?
a. not clearly stated
b. she just gave birth
c. she wants to add her daughter as a dependent</t>
  </si>
  <si>
    <t>Candidate selects the idiom that best completes a workplace sentence.</t>
  </si>
  <si>
    <t>Candidate selects the grammatically and contextually correct sentence.</t>
  </si>
  <si>
    <t>Candidate listens to a short customer recording and chooses the best response. Candidate will read chosen response out loud.</t>
  </si>
  <si>
    <t xml:space="preserve">Listen: This is ridiculous! Why is my bill $580?
Choose the best response and read out loud:
a. Let me check why your bill is $580. May I have you member ID please?
b. Oh no! Let's see what we can do. 
c. I am sure this is frustrating. No worries, I am here to assist you. </t>
  </si>
  <si>
    <t>Sound It Out</t>
  </si>
  <si>
    <t>Reading Fluency</t>
  </si>
  <si>
    <t>Say it the Right Way</t>
  </si>
  <si>
    <t>Complete the Expression</t>
  </si>
  <si>
    <t>Grammar Challenge</t>
  </si>
  <si>
    <t>Listen and Repeat</t>
  </si>
  <si>
    <t>Comprehension Challenge</t>
  </si>
  <si>
    <t>Respond to the Situation</t>
  </si>
  <si>
    <t>Share your Thoughts</t>
  </si>
  <si>
    <t>Read and Reconstruct</t>
  </si>
  <si>
    <t>The candidate arranges the information in the most logical order to create a complete and coherent message.</t>
  </si>
  <si>
    <t>Arrange the six sections below to create a clear and professional email response. Select each section and place the sections in the correct order.
A. If the claim is still not visible after that timeframe, please contact us again so we can review the submission and determine whether additional information is needed.
B. Sincerely,
UnitedHealthcare Customer Service
C. Hello Jordan,
D. Thank you for contacting UnitedHealthcare. I understand that you would like to confirm whether the recently submitted claim was received.
E. Claims may take several business days to appear in the online account after submission. Please continue checking the Claims section of the member portal for updates.
F. We appreciate your patience while the claim is being processed. Please let us know if you need additional assistance.</t>
  </si>
  <si>
    <t>Candidates will be provided a topic and input their opinion about the subject.</t>
  </si>
  <si>
    <t>Activities</t>
  </si>
  <si>
    <t>Activity Name</t>
  </si>
  <si>
    <t>Communication Proficiency Assessment</t>
  </si>
  <si>
    <t>Opinion (Writing)</t>
  </si>
  <si>
    <t>Read and Speak (Reading &amp; Speaking)</t>
  </si>
  <si>
    <t>Candidate reads and listens to a short customer recording (text appears on the screen) and answers comprehension questions.</t>
  </si>
  <si>
    <t>Conversations (Listening)</t>
  </si>
  <si>
    <t>Reading Comprehension (Reading)
Listening Comprehension (Listening)</t>
  </si>
  <si>
    <t>Listen and Repeat (Speaking)
Listening Comprehension (Listening)</t>
  </si>
  <si>
    <t>Sentence Completion (Reading)
Sentence Construction (Speaking)</t>
  </si>
  <si>
    <t>Read and Reconstruct (Writing)
Reading Comprehension (Reading)</t>
  </si>
  <si>
    <t>Listen and Repeat (Speaking)</t>
  </si>
  <si>
    <t>Sentence Construction (Speaking)</t>
  </si>
  <si>
    <t>Professional Communication Assessment</t>
  </si>
  <si>
    <t>Email Writing</t>
  </si>
  <si>
    <t>Email Writing (Writing)</t>
  </si>
  <si>
    <t>Listening Comprehension (Listening)
Listen and Write (Listening &amp; Writing)</t>
  </si>
  <si>
    <t xml:space="preserve">Listen: This is ridiculous! Why is my bill $580?
Type the best response. </t>
  </si>
  <si>
    <t>Candidate listens to a short customer recording and chooses the best response. Candidate will write the best response to the situation.</t>
  </si>
  <si>
    <t>Storytelling (Speaking)</t>
  </si>
  <si>
    <t>What's your story?</t>
  </si>
  <si>
    <t>Candidate will be provided a topic and input their opinion about the subject.</t>
  </si>
  <si>
    <t>Candidate will be provided a topic and share their experience about the subject.</t>
  </si>
  <si>
    <t>Share your opinion on the subject:
*There is a space for them to type in their answer
*Maximum of 150 words</t>
  </si>
  <si>
    <t>Share your experiencen on the subject:
*Candidate will record their story
*Maximum of 180s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</si>
</sst>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000000"/>
      <name val="Aptos"/>
    </font>
    <font>
      <b/>
      <sz val="10"/>
      <color rgb="FFFFFFFF"/>
      <name val="Aptos"/>
    </font>
    <font>
      <sz val="10"/>
      <color theme="1"/>
      <name val="Aptos"/>
    </font>
  </fonts>
  <fills count="4">
    <fill>
      <patternFill patternType="none"/>
    </fill>
    <fill>
      <patternFill patternType="gray125"/>
    </fill>
    <fill>
      <patternFill patternType="solid">
        <fgColor rgb="FFDDEBF7"/>
      </patternFill>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wrapText="1"/>
    </xf>
    <xf numFmtId="0" fontId="1" fillId="2" borderId="0" xfId="0" applyFont="1" applyFill="1" applyAlignment="1">
      <alignment vertical="center" wrapText="1"/>
    </xf>
    <xf numFmtId="0" fontId="3" fillId="0" borderId="1" xfId="0" applyFont="1" applyBorder="1" applyAlignment="1">
      <alignment vertical="top"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left" vertical="center"/>
    </xf>
    <xf numFmtId="0" fontId="3" fillId="0" borderId="1" xfId="0" applyFont="1" applyBorder="1" applyAlignment="1">
      <alignment horizontal="left" vertical="center" wrapText="1"/>
    </xf>
    <xf numFmtId="0" fontId="0" fillId="0" borderId="0" xfId="0" applyAlignment="1">
      <alignmen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332A5-8D0F-4B96-B3D1-36CF7A5680F1}">
  <sheetPr>
    <pageSetUpPr fitToPage="1"/>
  </sheetPr>
  <dimension ref="B1:J15"/>
  <sheetViews>
    <sheetView showGridLines="0" tabSelected="1" zoomScale="63" zoomScaleNormal="89" workbookViewId="0">
      <pane xSplit="2" ySplit="3" topLeftCell="C4" activePane="bottomRight" state="frozen"/>
      <selection pane="topRight"/>
      <selection pane="bottomLeft"/>
      <selection pane="bottomRight" activeCell="C4" sqref="C4"/>
    </sheetView>
  </sheetViews>
  <sheetFormatPr defaultRowHeight="14.5" x14ac:dyDescent="0.35"/>
  <cols>
    <col min="1" max="1" width="4.1796875" customWidth="1"/>
    <col min="2" max="2" width="6" style="1" customWidth="1"/>
    <col min="3" max="3" width="30" customWidth="1"/>
    <col min="4" max="4" width="28" style="1" customWidth="1"/>
    <col min="5" max="5" width="34.26953125" style="1" customWidth="1"/>
    <col min="6" max="6" width="43.08984375" style="7" customWidth="1"/>
    <col min="7" max="7" width="35" style="9" customWidth="1"/>
    <col min="8" max="8" width="11" customWidth="1"/>
    <col min="9" max="9" width="16" customWidth="1"/>
    <col min="10" max="10" width="55" style="9" customWidth="1"/>
  </cols>
  <sheetData>
    <row r="1" spans="2:10" ht="6" customHeight="1" x14ac:dyDescent="0.35"/>
    <row r="3" spans="2:10" ht="32.15" customHeight="1" x14ac:dyDescent="0.35">
      <c r="B3" s="2"/>
      <c r="C3" s="2" t="s">
        <v>0</v>
      </c>
      <c r="D3" s="2" t="s">
        <v>71</v>
      </c>
      <c r="E3" s="2" t="s">
        <v>70</v>
      </c>
      <c r="F3" s="2" t="s">
        <v>2</v>
      </c>
      <c r="G3" s="2" t="s">
        <v>3</v>
      </c>
      <c r="H3" s="2" t="s">
        <v>4</v>
      </c>
      <c r="I3" s="2" t="s">
        <v>5</v>
      </c>
      <c r="J3" s="2" t="s">
        <v>6</v>
      </c>
    </row>
    <row r="4" spans="2:10" ht="58" customHeight="1" x14ac:dyDescent="0.35">
      <c r="B4" s="5">
        <v>1</v>
      </c>
      <c r="C4" s="6" t="s">
        <v>72</v>
      </c>
      <c r="D4" s="6" t="s">
        <v>57</v>
      </c>
      <c r="E4" s="6" t="s">
        <v>74</v>
      </c>
      <c r="F4" s="8" t="s">
        <v>7</v>
      </c>
      <c r="G4" s="10" t="s">
        <v>8</v>
      </c>
      <c r="H4" s="6">
        <v>6</v>
      </c>
      <c r="I4" s="6">
        <v>3</v>
      </c>
      <c r="J4" s="10" t="s">
        <v>44</v>
      </c>
    </row>
    <row r="5" spans="2:10" ht="91.25" customHeight="1" x14ac:dyDescent="0.35">
      <c r="B5" s="5">
        <v>2</v>
      </c>
      <c r="C5" s="6" t="s">
        <v>72</v>
      </c>
      <c r="D5" s="6" t="s">
        <v>58</v>
      </c>
      <c r="E5" s="6" t="s">
        <v>74</v>
      </c>
      <c r="F5" s="8" t="s">
        <v>45</v>
      </c>
      <c r="G5" s="10" t="s">
        <v>9</v>
      </c>
      <c r="H5" s="6">
        <v>1</v>
      </c>
      <c r="I5" s="6">
        <v>2</v>
      </c>
      <c r="J5" s="10" t="s">
        <v>46</v>
      </c>
    </row>
    <row r="6" spans="2:10" ht="58" customHeight="1" x14ac:dyDescent="0.35">
      <c r="B6" s="5">
        <v>3</v>
      </c>
      <c r="C6" s="6" t="s">
        <v>72</v>
      </c>
      <c r="D6" s="6" t="s">
        <v>59</v>
      </c>
      <c r="E6" s="6" t="s">
        <v>79</v>
      </c>
      <c r="F6" s="8" t="s">
        <v>54</v>
      </c>
      <c r="G6" s="10" t="s">
        <v>10</v>
      </c>
      <c r="H6" s="6">
        <v>4</v>
      </c>
      <c r="I6" s="6">
        <v>3</v>
      </c>
      <c r="J6" s="10" t="s">
        <v>47</v>
      </c>
    </row>
    <row r="7" spans="2:10" ht="85.25" customHeight="1" x14ac:dyDescent="0.35">
      <c r="B7" s="5">
        <v>4</v>
      </c>
      <c r="C7" s="6" t="s">
        <v>72</v>
      </c>
      <c r="D7" s="6" t="s">
        <v>60</v>
      </c>
      <c r="E7" s="6" t="s">
        <v>79</v>
      </c>
      <c r="F7" s="8" t="s">
        <v>53</v>
      </c>
      <c r="G7" s="10" t="s">
        <v>11</v>
      </c>
      <c r="H7" s="6">
        <v>3</v>
      </c>
      <c r="I7" s="6">
        <v>2</v>
      </c>
      <c r="J7" s="10" t="s">
        <v>48</v>
      </c>
    </row>
    <row r="8" spans="2:10" ht="72.650000000000006" customHeight="1" x14ac:dyDescent="0.35">
      <c r="B8" s="5">
        <v>5</v>
      </c>
      <c r="C8" s="6" t="s">
        <v>72</v>
      </c>
      <c r="D8" s="6" t="s">
        <v>61</v>
      </c>
      <c r="E8" s="6" t="s">
        <v>79</v>
      </c>
      <c r="F8" s="8" t="s">
        <v>12</v>
      </c>
      <c r="G8" s="10" t="s">
        <v>13</v>
      </c>
      <c r="H8" s="6">
        <v>6</v>
      </c>
      <c r="I8" s="6">
        <v>4</v>
      </c>
      <c r="J8" s="10" t="s">
        <v>49</v>
      </c>
    </row>
    <row r="9" spans="2:10" ht="58" customHeight="1" x14ac:dyDescent="0.35">
      <c r="B9" s="5">
        <v>6</v>
      </c>
      <c r="C9" s="6" t="s">
        <v>72</v>
      </c>
      <c r="D9" s="6" t="s">
        <v>62</v>
      </c>
      <c r="E9" s="6" t="s">
        <v>78</v>
      </c>
      <c r="F9" s="8" t="s">
        <v>50</v>
      </c>
      <c r="G9" s="10" t="s">
        <v>14</v>
      </c>
      <c r="H9" s="6">
        <v>4</v>
      </c>
      <c r="I9" s="6">
        <v>4</v>
      </c>
      <c r="J9" s="10" t="s">
        <v>51</v>
      </c>
    </row>
    <row r="10" spans="2:10" ht="86.4" customHeight="1" x14ac:dyDescent="0.35">
      <c r="B10" s="5">
        <v>7</v>
      </c>
      <c r="C10" s="6" t="s">
        <v>72</v>
      </c>
      <c r="D10" s="6" t="s">
        <v>63</v>
      </c>
      <c r="E10" s="6" t="s">
        <v>77</v>
      </c>
      <c r="F10" s="8" t="s">
        <v>75</v>
      </c>
      <c r="G10" s="10" t="s">
        <v>15</v>
      </c>
      <c r="H10" s="6">
        <v>4</v>
      </c>
      <c r="I10" s="6">
        <v>5</v>
      </c>
      <c r="J10" s="10" t="s">
        <v>52</v>
      </c>
    </row>
    <row r="11" spans="2:10" ht="88.25" customHeight="1" x14ac:dyDescent="0.35">
      <c r="B11" s="5">
        <v>8</v>
      </c>
      <c r="C11" s="6" t="s">
        <v>72</v>
      </c>
      <c r="D11" s="6" t="s">
        <v>64</v>
      </c>
      <c r="E11" s="6" t="s">
        <v>76</v>
      </c>
      <c r="F11" s="8" t="s">
        <v>55</v>
      </c>
      <c r="G11" s="10" t="s">
        <v>16</v>
      </c>
      <c r="H11" s="6">
        <v>2</v>
      </c>
      <c r="I11" s="6">
        <v>6</v>
      </c>
      <c r="J11" s="10" t="s">
        <v>56</v>
      </c>
    </row>
    <row r="12" spans="2:10" ht="58" customHeight="1" x14ac:dyDescent="0.35">
      <c r="B12" s="5">
        <v>9</v>
      </c>
      <c r="C12" s="6" t="s">
        <v>72</v>
      </c>
      <c r="D12" s="6" t="s">
        <v>66</v>
      </c>
      <c r="E12" s="6" t="s">
        <v>80</v>
      </c>
      <c r="F12" s="8" t="s">
        <v>67</v>
      </c>
      <c r="G12" s="10" t="s">
        <v>17</v>
      </c>
      <c r="H12" s="6">
        <v>1</v>
      </c>
      <c r="I12" s="6">
        <v>3</v>
      </c>
      <c r="J12" s="10" t="s">
        <v>68</v>
      </c>
    </row>
    <row r="13" spans="2:10" ht="58" customHeight="1" x14ac:dyDescent="0.35">
      <c r="B13" s="5">
        <v>10</v>
      </c>
      <c r="C13" s="6" t="s">
        <v>72</v>
      </c>
      <c r="D13" s="6" t="s">
        <v>65</v>
      </c>
      <c r="E13" s="6" t="s">
        <v>73</v>
      </c>
      <c r="F13" s="8" t="s">
        <v>69</v>
      </c>
      <c r="G13" s="10" t="s">
        <v>18</v>
      </c>
      <c r="H13" s="6">
        <v>1</v>
      </c>
      <c r="I13" s="6">
        <v>3</v>
      </c>
      <c r="J13" s="10" t="s">
        <v>93</v>
      </c>
    </row>
    <row r="15" spans="2:10" ht="26" x14ac:dyDescent="0.35">
      <c r="G15" s="3" t="s">
        <v>40</v>
      </c>
      <c r="H15" s="3">
        <f>SUM(H4:H13)</f>
        <v>32</v>
      </c>
      <c r="I15" s="3">
        <f>SUM(I4:I13)</f>
        <v>35</v>
      </c>
      <c r="J15" s="3" t="s">
        <v>39</v>
      </c>
    </row>
  </sheetData>
  <autoFilter ref="B3:J13" xr:uid="{00000000-0009-0000-0000-000000000000}"/>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17"/>
  <sheetViews>
    <sheetView showGridLines="0" zoomScale="68" zoomScaleNormal="89" workbookViewId="0">
      <pane xSplit="2" ySplit="3" topLeftCell="C4" activePane="bottomRight" state="frozen"/>
      <selection pane="topRight"/>
      <selection pane="bottomLeft"/>
      <selection pane="bottomRight" activeCell="C4" sqref="C4"/>
    </sheetView>
  </sheetViews>
  <sheetFormatPr defaultRowHeight="14.5" x14ac:dyDescent="0.35"/>
  <cols>
    <col min="1" max="1" width="4.1796875" customWidth="1"/>
    <col min="2" max="2" width="6" style="1" customWidth="1"/>
    <col min="3" max="3" width="30" customWidth="1"/>
    <col min="4" max="4" width="28" style="1" customWidth="1"/>
    <col min="5" max="5" width="34.26953125" style="1" customWidth="1"/>
    <col min="6" max="6" width="43.08984375" style="7" customWidth="1"/>
    <col min="7" max="7" width="35" style="9" customWidth="1"/>
    <col min="8" max="8" width="11" customWidth="1"/>
    <col min="9" max="9" width="16" customWidth="1"/>
    <col min="10" max="10" width="55" style="9" customWidth="1"/>
  </cols>
  <sheetData>
    <row r="1" spans="2:10" ht="6" customHeight="1" x14ac:dyDescent="0.35"/>
    <row r="3" spans="2:10" ht="32.15" customHeight="1" x14ac:dyDescent="0.35">
      <c r="B3" s="2"/>
      <c r="C3" s="2" t="s">
        <v>0</v>
      </c>
      <c r="D3" s="2" t="s">
        <v>71</v>
      </c>
      <c r="E3" s="2" t="s">
        <v>70</v>
      </c>
      <c r="F3" s="2" t="s">
        <v>2</v>
      </c>
      <c r="G3" s="2" t="s">
        <v>3</v>
      </c>
      <c r="H3" s="2" t="s">
        <v>4</v>
      </c>
      <c r="I3" s="2" t="s">
        <v>5</v>
      </c>
      <c r="J3" s="2" t="s">
        <v>6</v>
      </c>
    </row>
    <row r="4" spans="2:10" ht="58" customHeight="1" x14ac:dyDescent="0.35">
      <c r="B4" s="5">
        <v>1</v>
      </c>
      <c r="C4" s="6" t="s">
        <v>83</v>
      </c>
      <c r="D4" s="6" t="s">
        <v>57</v>
      </c>
      <c r="E4" s="6" t="s">
        <v>81</v>
      </c>
      <c r="F4" s="8" t="s">
        <v>7</v>
      </c>
      <c r="G4" s="10" t="s">
        <v>8</v>
      </c>
      <c r="H4" s="6">
        <v>6</v>
      </c>
      <c r="I4" s="6">
        <v>3</v>
      </c>
      <c r="J4" s="10" t="s">
        <v>44</v>
      </c>
    </row>
    <row r="5" spans="2:10" ht="91.25" customHeight="1" x14ac:dyDescent="0.35">
      <c r="B5" s="5">
        <v>2</v>
      </c>
      <c r="C5" s="6" t="s">
        <v>83</v>
      </c>
      <c r="D5" s="6" t="s">
        <v>58</v>
      </c>
      <c r="E5" s="6" t="s">
        <v>81</v>
      </c>
      <c r="F5" s="8" t="s">
        <v>45</v>
      </c>
      <c r="G5" s="10" t="s">
        <v>9</v>
      </c>
      <c r="H5" s="6">
        <v>1</v>
      </c>
      <c r="I5" s="6">
        <v>2</v>
      </c>
      <c r="J5" s="10" t="s">
        <v>46</v>
      </c>
    </row>
    <row r="6" spans="2:10" ht="58" customHeight="1" x14ac:dyDescent="0.35">
      <c r="B6" s="5">
        <v>3</v>
      </c>
      <c r="C6" s="6" t="s">
        <v>83</v>
      </c>
      <c r="D6" s="6" t="s">
        <v>59</v>
      </c>
      <c r="E6" s="6" t="s">
        <v>82</v>
      </c>
      <c r="F6" s="8" t="s">
        <v>54</v>
      </c>
      <c r="G6" s="10" t="s">
        <v>10</v>
      </c>
      <c r="H6" s="6">
        <v>4</v>
      </c>
      <c r="I6" s="6">
        <v>3</v>
      </c>
      <c r="J6" s="10" t="s">
        <v>47</v>
      </c>
    </row>
    <row r="7" spans="2:10" ht="85.25" customHeight="1" x14ac:dyDescent="0.35">
      <c r="B7" s="5">
        <v>4</v>
      </c>
      <c r="C7" s="6" t="s">
        <v>83</v>
      </c>
      <c r="D7" s="6" t="s">
        <v>60</v>
      </c>
      <c r="E7" s="6" t="s">
        <v>82</v>
      </c>
      <c r="F7" s="8" t="s">
        <v>53</v>
      </c>
      <c r="G7" s="10" t="s">
        <v>11</v>
      </c>
      <c r="H7" s="6">
        <v>3</v>
      </c>
      <c r="I7" s="6">
        <v>2</v>
      </c>
      <c r="J7" s="10" t="s">
        <v>48</v>
      </c>
    </row>
    <row r="8" spans="2:10" ht="72.650000000000006" customHeight="1" x14ac:dyDescent="0.35">
      <c r="B8" s="5">
        <v>5</v>
      </c>
      <c r="C8" s="6" t="s">
        <v>83</v>
      </c>
      <c r="D8" s="6" t="s">
        <v>61</v>
      </c>
      <c r="E8" s="6" t="s">
        <v>82</v>
      </c>
      <c r="F8" s="8" t="s">
        <v>12</v>
      </c>
      <c r="G8" s="10" t="s">
        <v>13</v>
      </c>
      <c r="H8" s="6">
        <v>6</v>
      </c>
      <c r="I8" s="6">
        <v>4</v>
      </c>
      <c r="J8" s="10" t="s">
        <v>49</v>
      </c>
    </row>
    <row r="9" spans="2:10" ht="58" customHeight="1" x14ac:dyDescent="0.35">
      <c r="B9" s="5">
        <v>6</v>
      </c>
      <c r="C9" s="6" t="s">
        <v>83</v>
      </c>
      <c r="D9" s="6" t="s">
        <v>62</v>
      </c>
      <c r="E9" s="6" t="s">
        <v>78</v>
      </c>
      <c r="F9" s="8" t="s">
        <v>50</v>
      </c>
      <c r="G9" s="10" t="s">
        <v>14</v>
      </c>
      <c r="H9" s="6">
        <v>4</v>
      </c>
      <c r="I9" s="6">
        <v>4</v>
      </c>
      <c r="J9" s="10" t="s">
        <v>51</v>
      </c>
    </row>
    <row r="10" spans="2:10" ht="58" customHeight="1" x14ac:dyDescent="0.35">
      <c r="B10" s="5">
        <v>7</v>
      </c>
      <c r="C10" s="6" t="s">
        <v>83</v>
      </c>
      <c r="D10" s="6" t="s">
        <v>90</v>
      </c>
      <c r="E10" s="6" t="s">
        <v>89</v>
      </c>
      <c r="F10" s="8" t="s">
        <v>92</v>
      </c>
      <c r="G10" s="10" t="s">
        <v>18</v>
      </c>
      <c r="H10" s="6">
        <v>1</v>
      </c>
      <c r="I10" s="6">
        <v>4</v>
      </c>
      <c r="J10" s="10" t="s">
        <v>94</v>
      </c>
    </row>
    <row r="11" spans="2:10" ht="86.4" customHeight="1" x14ac:dyDescent="0.35">
      <c r="B11" s="5">
        <v>8</v>
      </c>
      <c r="C11" s="6" t="s">
        <v>83</v>
      </c>
      <c r="D11" s="6" t="s">
        <v>63</v>
      </c>
      <c r="E11" s="6" t="s">
        <v>77</v>
      </c>
      <c r="F11" s="8" t="s">
        <v>75</v>
      </c>
      <c r="G11" s="10" t="s">
        <v>15</v>
      </c>
      <c r="H11" s="6">
        <v>4</v>
      </c>
      <c r="I11" s="6">
        <v>5</v>
      </c>
      <c r="J11" s="10" t="s">
        <v>52</v>
      </c>
    </row>
    <row r="12" spans="2:10" ht="88.25" customHeight="1" x14ac:dyDescent="0.35">
      <c r="B12" s="5">
        <v>9</v>
      </c>
      <c r="C12" s="6" t="s">
        <v>83</v>
      </c>
      <c r="D12" s="6" t="s">
        <v>64</v>
      </c>
      <c r="E12" s="6" t="s">
        <v>86</v>
      </c>
      <c r="F12" s="8" t="s">
        <v>88</v>
      </c>
      <c r="G12" s="10" t="s">
        <v>16</v>
      </c>
      <c r="H12" s="6">
        <v>2</v>
      </c>
      <c r="I12" s="6">
        <v>6</v>
      </c>
      <c r="J12" s="10" t="s">
        <v>87</v>
      </c>
    </row>
    <row r="13" spans="2:10" ht="58" customHeight="1" x14ac:dyDescent="0.35">
      <c r="B13" s="5">
        <v>10</v>
      </c>
      <c r="C13" s="6" t="s">
        <v>83</v>
      </c>
      <c r="D13" s="6" t="s">
        <v>66</v>
      </c>
      <c r="E13" s="6" t="s">
        <v>80</v>
      </c>
      <c r="F13" s="8" t="s">
        <v>67</v>
      </c>
      <c r="G13" s="10" t="s">
        <v>17</v>
      </c>
      <c r="H13" s="6">
        <v>1</v>
      </c>
      <c r="I13" s="6">
        <v>3</v>
      </c>
      <c r="J13" s="10" t="s">
        <v>68</v>
      </c>
    </row>
    <row r="14" spans="2:10" ht="58" customHeight="1" x14ac:dyDescent="0.35">
      <c r="B14" s="5">
        <v>11</v>
      </c>
      <c r="C14" s="6" t="s">
        <v>83</v>
      </c>
      <c r="D14" s="6" t="s">
        <v>65</v>
      </c>
      <c r="E14" s="6" t="s">
        <v>73</v>
      </c>
      <c r="F14" s="8" t="s">
        <v>91</v>
      </c>
      <c r="G14" s="10" t="s">
        <v>18</v>
      </c>
      <c r="H14" s="6">
        <v>1</v>
      </c>
      <c r="I14" s="6">
        <v>4</v>
      </c>
      <c r="J14" s="10" t="s">
        <v>93</v>
      </c>
    </row>
    <row r="15" spans="2:10" ht="58" customHeight="1" x14ac:dyDescent="0.35">
      <c r="B15" s="5">
        <v>12</v>
      </c>
      <c r="C15" s="6" t="s">
        <v>83</v>
      </c>
      <c r="D15" s="6" t="s">
        <v>84</v>
      </c>
      <c r="E15" s="6" t="s">
        <v>85</v>
      </c>
      <c r="F15" s="4" t="s">
        <v>24</v>
      </c>
      <c r="G15" s="4" t="s">
        <v>25</v>
      </c>
      <c r="H15" s="6">
        <v>1</v>
      </c>
      <c r="I15" s="6">
        <v>5</v>
      </c>
      <c r="J15" s="4" t="s">
        <v>26</v>
      </c>
    </row>
    <row r="17" spans="7:10" ht="26" x14ac:dyDescent="0.35">
      <c r="G17" s="3" t="s">
        <v>40</v>
      </c>
      <c r="H17" s="3">
        <f>SUM(H4:H14)</f>
        <v>33</v>
      </c>
      <c r="I17" s="3">
        <f>SUM(I4:I15)</f>
        <v>45</v>
      </c>
      <c r="J17" s="3" t="s">
        <v>39</v>
      </c>
    </row>
  </sheetData>
  <autoFilter ref="B3:J14" xr:uid="{00000000-0009-0000-0000-000000000000}"/>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2E24-19A7-4AE7-94B6-D0389DC73DA0}">
  <sheetPr>
    <pageSetUpPr fitToPage="1"/>
  </sheetPr>
  <dimension ref="B1:I10"/>
  <sheetViews>
    <sheetView showGridLines="0" zoomScale="91" zoomScaleNormal="89" workbookViewId="0">
      <pane xSplit="2" ySplit="3" topLeftCell="C4" activePane="bottomRight" state="frozen"/>
      <selection pane="topRight"/>
      <selection pane="bottomLeft"/>
      <selection pane="bottomRight" activeCell="E5" sqref="E5:I5"/>
    </sheetView>
  </sheetViews>
  <sheetFormatPr defaultRowHeight="14.5" x14ac:dyDescent="0.35"/>
  <cols>
    <col min="1" max="1" width="4.1796875" customWidth="1"/>
    <col min="2" max="2" width="6" style="1" customWidth="1"/>
    <col min="3" max="3" width="30" customWidth="1"/>
    <col min="4" max="4" width="28" customWidth="1"/>
    <col min="5" max="5" width="43.08984375" customWidth="1"/>
    <col min="6" max="6" width="35" customWidth="1"/>
    <col min="7" max="7" width="11" customWidth="1"/>
    <col min="8" max="8" width="16" customWidth="1"/>
    <col min="9" max="9" width="55" customWidth="1"/>
  </cols>
  <sheetData>
    <row r="1" spans="2:9" ht="6" customHeight="1" x14ac:dyDescent="0.35"/>
    <row r="3" spans="2:9" ht="32.15" customHeight="1" x14ac:dyDescent="0.35">
      <c r="B3" s="2"/>
      <c r="C3" s="2" t="s">
        <v>0</v>
      </c>
      <c r="D3" s="2" t="s">
        <v>1</v>
      </c>
      <c r="E3" s="2" t="s">
        <v>2</v>
      </c>
      <c r="F3" s="2" t="s">
        <v>3</v>
      </c>
      <c r="G3" s="2" t="s">
        <v>4</v>
      </c>
      <c r="H3" s="2" t="s">
        <v>5</v>
      </c>
      <c r="I3" s="2" t="s">
        <v>6</v>
      </c>
    </row>
    <row r="4" spans="2:9" ht="58" customHeight="1" x14ac:dyDescent="0.35">
      <c r="B4" s="5">
        <v>1</v>
      </c>
      <c r="C4" s="6" t="s">
        <v>41</v>
      </c>
      <c r="D4" s="4" t="s">
        <v>19</v>
      </c>
      <c r="E4" s="4" t="s">
        <v>20</v>
      </c>
      <c r="F4" s="4" t="s">
        <v>21</v>
      </c>
      <c r="G4" s="6">
        <v>3</v>
      </c>
      <c r="H4" s="6">
        <v>4</v>
      </c>
      <c r="I4" s="4" t="s">
        <v>22</v>
      </c>
    </row>
    <row r="5" spans="2:9" ht="58" customHeight="1" x14ac:dyDescent="0.35">
      <c r="B5" s="5">
        <v>2</v>
      </c>
      <c r="C5" s="6" t="s">
        <v>41</v>
      </c>
      <c r="D5" s="4" t="s">
        <v>23</v>
      </c>
      <c r="E5" s="4" t="s">
        <v>24</v>
      </c>
      <c r="F5" s="4" t="s">
        <v>25</v>
      </c>
      <c r="G5" s="6">
        <v>1</v>
      </c>
      <c r="H5" s="6">
        <v>12</v>
      </c>
      <c r="I5" s="4" t="s">
        <v>26</v>
      </c>
    </row>
    <row r="6" spans="2:9" ht="58" customHeight="1" x14ac:dyDescent="0.35">
      <c r="B6" s="5">
        <v>3</v>
      </c>
      <c r="C6" s="6" t="s">
        <v>42</v>
      </c>
      <c r="D6" s="4" t="s">
        <v>27</v>
      </c>
      <c r="E6" s="4" t="s">
        <v>28</v>
      </c>
      <c r="F6" s="4" t="s">
        <v>29</v>
      </c>
      <c r="G6" s="6">
        <v>6</v>
      </c>
      <c r="H6" s="6">
        <v>10</v>
      </c>
      <c r="I6" s="4" t="s">
        <v>30</v>
      </c>
    </row>
    <row r="7" spans="2:9" ht="58" customHeight="1" x14ac:dyDescent="0.35">
      <c r="B7" s="5">
        <v>4</v>
      </c>
      <c r="C7" s="6" t="s">
        <v>42</v>
      </c>
      <c r="D7" s="4" t="s">
        <v>31</v>
      </c>
      <c r="E7" s="4" t="s">
        <v>32</v>
      </c>
      <c r="F7" s="4" t="s">
        <v>33</v>
      </c>
      <c r="G7" s="6">
        <v>4</v>
      </c>
      <c r="H7" s="6">
        <v>5</v>
      </c>
      <c r="I7" s="4" t="s">
        <v>34</v>
      </c>
    </row>
    <row r="8" spans="2:9" ht="58" customHeight="1" x14ac:dyDescent="0.35">
      <c r="B8" s="5">
        <v>5</v>
      </c>
      <c r="C8" s="6" t="s">
        <v>43</v>
      </c>
      <c r="D8" s="4" t="s">
        <v>35</v>
      </c>
      <c r="E8" s="4" t="s">
        <v>36</v>
      </c>
      <c r="F8" s="4" t="s">
        <v>37</v>
      </c>
      <c r="G8" s="6">
        <v>5</v>
      </c>
      <c r="H8" s="6">
        <v>5</v>
      </c>
      <c r="I8" s="4" t="s">
        <v>38</v>
      </c>
    </row>
    <row r="10" spans="2:9" ht="26" x14ac:dyDescent="0.35">
      <c r="F10" s="3" t="s">
        <v>40</v>
      </c>
      <c r="G10" s="3">
        <f>SUM(G4:G8)</f>
        <v>19</v>
      </c>
      <c r="H10" s="3">
        <f>SUM(H4:H8)</f>
        <v>36</v>
      </c>
      <c r="I10" s="3" t="s">
        <v>39</v>
      </c>
    </row>
  </sheetData>
  <autoFilter ref="B3:I8" xr:uid="{00000000-0009-0000-0000-000000000000}"/>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Voice Activity Breakdown (Ex)</vt:lpstr>
      <vt:lpstr>Voice Activity Breakdown (In)</vt:lpstr>
      <vt:lpstr>Written Activity Breakdown</vt:lpstr>
      <vt:lpstr>'Voice Activity Breakdown (Ex)'!Print_Area</vt:lpstr>
      <vt:lpstr>'Voice Activity Breakdown (In)'!Print_Area</vt:lpstr>
      <vt:lpstr>'Written Activity Breakdown'!Print_Area</vt:lpstr>
      <vt:lpstr>'Voice Activity Breakdown (Ex)'!Print_Titles</vt:lpstr>
      <vt:lpstr>'Voice Activity Breakdown (In)'!Print_Titles</vt:lpstr>
      <vt:lpstr>'Written Activity Breakdown'!Print_Titles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 Jesus John T</dc:creator>
  <cp:keywords/>
  <dc:description/>
  <cp:lastModifiedBy>Ke, Jesus John T</cp:lastModifiedBy>
  <cp:revision/>
  <dcterms:created xsi:type="dcterms:W3CDTF">2026-07-19T06:45:32Z</dcterms:created>
  <dcterms:modified xsi:type="dcterms:W3CDTF">2026-07-24T09:29:30Z</dcterms:modified>
  <cp:category/>
  <cp:contentStatus/>
</cp:coreProperties>
</file>